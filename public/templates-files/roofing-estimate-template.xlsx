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stimate" state="visible" r:id="rId4"/>
    <sheet sheetId="2" name="Roof Takeoff" state="visible" r:id="rId5"/>
    <sheet sheetId="3" name="Unit Prices" state="visible" r:id="rId6"/>
    <sheet sheetId="4" name="How to Use" state="visible" r:id="rId7"/>
  </sheets>
  <definedNames>
    <definedName name="_xlnm.Print_Area" localSheetId="0">'Estimate'!$A1:$G74</definedName>
  </definedNames>
  <calcPr calcId="171027" fullCalcOnLoad="1"/>
</workbook>
</file>

<file path=xl/sharedStrings.xml><?xml version="1.0" encoding="utf-8"?>
<sst xmlns="http://schemas.openxmlformats.org/spreadsheetml/2006/main" count="195" uniqueCount="158">
  <si>
    <t>Roofing Estimate</t>
  </si>
  <si>
    <t>Amber = your inputs</t>
  </si>
  <si>
    <t>Customer-facing estimate by phase — tear-off, roof system, flashing, permits — with tax, deposit and balance computed. Print fits one page.</t>
  </si>
  <si>
    <t>Amber cells are yours to fill in. Everything else calculates.</t>
  </si>
  <si>
    <t>YOUR COMPANY</t>
  </si>
  <si>
    <t>ESTIMATE</t>
  </si>
  <si>
    <t>Company</t>
  </si>
  <si>
    <t>Estimate no.</t>
  </si>
  <si>
    <t>Address</t>
  </si>
  <si>
    <t>Date</t>
  </si>
  <si>
    <t>Phone / email / license</t>
  </si>
  <si>
    <t>Valid until</t>
  </si>
  <si>
    <t>PREPARED FOR</t>
  </si>
  <si>
    <t>JOB</t>
  </si>
  <si>
    <t>Customer</t>
  </si>
  <si>
    <t>Job address</t>
  </si>
  <si>
    <t>Estimated start</t>
  </si>
  <si>
    <t>Phone / email</t>
  </si>
  <si>
    <t>Prepared by</t>
  </si>
  <si>
    <t>JOB SPECS</t>
  </si>
  <si>
    <t>Roof area</t>
  </si>
  <si>
    <t>Pitch</t>
  </si>
  <si>
    <t>Tear-off</t>
  </si>
  <si>
    <t>Roof system</t>
  </si>
  <si>
    <t>Color</t>
  </si>
  <si>
    <t>SCOPE OF WORK</t>
  </si>
  <si>
    <t>#</t>
  </si>
  <si>
    <t>DESCRIPTION</t>
  </si>
  <si>
    <t>QTY</t>
  </si>
  <si>
    <t>UNIT</t>
  </si>
  <si>
    <t>UNIT PRICE</t>
  </si>
  <si>
    <t>TAX?</t>
  </si>
  <si>
    <t>AMOUNT</t>
  </si>
  <si>
    <t>TEAR-OFF &amp; DECK PREP</t>
  </si>
  <si>
    <t/>
  </si>
  <si>
    <t>Tear-off &amp; deck prep subtotal</t>
  </si>
  <si>
    <t>ROOF SYSTEM</t>
  </si>
  <si>
    <t>Roof system subtotal</t>
  </si>
  <si>
    <t>FLASHING, VENTILATION &amp; PERMITS</t>
  </si>
  <si>
    <t>Flashing, ventilation &amp; permits subtotal</t>
  </si>
  <si>
    <t>Subtotal</t>
  </si>
  <si>
    <t>Taxable amount (lines marked Y)</t>
  </si>
  <si>
    <t>Sales tax — enter your rate (0% if tax is in your prices) →</t>
  </si>
  <si>
    <t>ESTIMATE TOTAL</t>
  </si>
  <si>
    <t>Deposit due on acceptance — enter % →</t>
  </si>
  <si>
    <t>Balance due on completion</t>
  </si>
  <si>
    <t>OPT.</t>
  </si>
  <si>
    <t>OPTIONAL ITEMS — PRICED SEPARATELY, NOT IN THE TOTAL</t>
  </si>
  <si>
    <t>ADD</t>
  </si>
  <si>
    <t>A</t>
  </si>
  <si>
    <t>B</t>
  </si>
  <si>
    <t>C</t>
  </si>
  <si>
    <t>TERMS — DEPOSIT, PAYMENT, DECKING ALLOWANCE, EXCLUSIONS, WARRANTY</t>
  </si>
  <si>
    <t>ACCEPTED BY (CUSTOMER)</t>
  </si>
  <si>
    <t>ESTIMATED BY</t>
  </si>
  <si>
    <t>SIGNATURE</t>
  </si>
  <si>
    <t>PRINTED NAME / TITLE</t>
  </si>
  <si>
    <t>DATE</t>
  </si>
  <si>
    <t>Free template by BuildWorkPro — buildworkpro.com/templates. Based on measurements taken before tear-off. Hidden damage and owner-requested changes are priced by written change order first. Check your state’s home-improvement contract and deposit rules. Not legal advice.</t>
  </si>
  <si>
    <t>Roof Takeoff</t>
  </si>
  <si>
    <t>Plan (footprint) dimensions × pitch factor = true roof area. Measured along the slope already? Enter the pitch as 0.</t>
  </si>
  <si>
    <t>ROOF PLANE</t>
  </si>
  <si>
    <t>PLAN LENGTH (FT)</t>
  </si>
  <si>
    <t>PLAN WIDTH (FT)</t>
  </si>
  <si>
    <t>PITCH (RISE/12)</t>
  </si>
  <si>
    <t>PITCH FACTOR</t>
  </si>
  <si>
    <t>ROOF AREA (SQ FT)</t>
  </si>
  <si>
    <t>Main — front</t>
  </si>
  <si>
    <t>Main — back</t>
  </si>
  <si>
    <t>Garage — left</t>
  </si>
  <si>
    <t>Garage — right</t>
  </si>
  <si>
    <t>Total roof area (sq ft)</t>
  </si>
  <si>
    <t>Squares (1 SQ = 100 sq ft of roof)</t>
  </si>
  <si>
    <t>ASSUMPTIONS — CHECK THE WRAPPER AND THE MANUFACTURER’S INSTRUCTIONS</t>
  </si>
  <si>
    <t>Waste — about 10% on simple gables, 15%+ on hip and cut-up roofs</t>
  </si>
  <si>
    <t>Shingle bundles per square</t>
  </si>
  <si>
    <t>Existing layers to tear off</t>
  </si>
  <si>
    <t>Tear-off debris — lb per square per layer (weigh a load to calibrate)</t>
  </si>
  <si>
    <t>Hip &amp; ridge cap — linear feet per bundle</t>
  </si>
  <si>
    <t>Ice &amp; water shield — sq ft per roll</t>
  </si>
  <si>
    <t>Ice &amp; water at eaves — courses (3 ft each)</t>
  </si>
  <si>
    <t>Synthetic underlayment — sq ft per roll (net of laps)</t>
  </si>
  <si>
    <t>Shingle exposure (inches) — one step flashing per course</t>
  </si>
  <si>
    <t>LINEAR MEASUREMENTS (FT)</t>
  </si>
  <si>
    <t>Eaves</t>
  </si>
  <si>
    <t>Rakes</t>
  </si>
  <si>
    <t>Ridges</t>
  </si>
  <si>
    <t>Hips</t>
  </si>
  <si>
    <t>Valleys</t>
  </si>
  <si>
    <t>Roof-to-wall intersections (step flashing)</t>
  </si>
  <si>
    <t>ORDER QUANTITIES</t>
  </si>
  <si>
    <t>QUANTITY</t>
  </si>
  <si>
    <t>Tear-off — roof squares (price for the layer count above)</t>
  </si>
  <si>
    <t>SQ</t>
  </si>
  <si>
    <t>Tear-off debris — size the dumpster</t>
  </si>
  <si>
    <t>TON</t>
  </si>
  <si>
    <t>Shingles to order, with waste</t>
  </si>
  <si>
    <t>Shingle bundles</t>
  </si>
  <si>
    <t>BDL</t>
  </si>
  <si>
    <t>Synthetic underlayment</t>
  </si>
  <si>
    <t>RL</t>
  </si>
  <si>
    <t>Ice &amp; water shield (eaves courses + a 3-ft strip in each valley)</t>
  </si>
  <si>
    <t>Starter strip (eaves + rakes)</t>
  </si>
  <si>
    <t>LF</t>
  </si>
  <si>
    <t>Drip edge (eaves + rakes), 10-ft pieces</t>
  </si>
  <si>
    <t>PC</t>
  </si>
  <si>
    <t>Hip &amp; ridge cap</t>
  </si>
  <si>
    <t>Hip &amp; ridge cap bundles</t>
  </si>
  <si>
    <t>Ridge vent — up to the full ridge length</t>
  </si>
  <si>
    <t>Step flashing pieces</t>
  </si>
  <si>
    <t>Full redeck — 4×8 OSB sheets incl. 5% cutting</t>
  </si>
  <si>
    <t>SHT</t>
  </si>
  <si>
    <t>Pitch factor = √(1 + (rise ÷ 12)²): a 6/12 roof is 1.118 × its footprint, an 8/12 roof 1.202 ×. Every extra layer adds tear-off labor and dumpster weight — price it. Keep waste in your unit price, not in the square count the customer sees.</t>
  </si>
  <si>
    <t>Free template by BuildWorkPro — buildworkpro.com/templates. Quantities are estimates; confirm coverage and nailing with the manufacturer.</t>
  </si>
  <si>
    <t>Unit Price Builder</t>
  </si>
  <si>
    <t>Internal — do not send. Builds each selling price from cost: material + labor + other, then overhead, then profit as a margin on price.</t>
  </si>
  <si>
    <t>Loaded labor rate ($/hr — wage + taxes + insurance + benefits)</t>
  </si>
  <si>
    <t>Overhead (% of cost — office, trucks, insurance, estimating)</t>
  </si>
  <si>
    <t>Profit margin (% of PRICE, not markup on cost)</t>
  </si>
  <si>
    <t>ITEM</t>
  </si>
  <si>
    <t>MATERIAL $/UNIT</t>
  </si>
  <si>
    <t>LABOR HRS/UNIT</t>
  </si>
  <si>
    <t>OTHER $/UNIT</t>
  </si>
  <si>
    <t>COST $/UNIT</t>
  </si>
  <si>
    <t>PRICE $/UNIT</t>
  </si>
  <si>
    <t>PROFIT $/UNIT</t>
  </si>
  <si>
    <t>Tear-off, two layers, incl. disposal</t>
  </si>
  <si>
    <t>Class 4 architectural shingles, installed</t>
  </si>
  <si>
    <t>Ice &amp; water shield</t>
  </si>
  <si>
    <t>Drip edge, prefinished aluminum</t>
  </si>
  <si>
    <t>Pipe boot replacement</t>
  </si>
  <si>
    <t>EA</t>
  </si>
  <si>
    <t>7/16" OSB decking replacement</t>
  </si>
  <si>
    <t>Labor hours per unit come from your own crews: divide the hours a crew spent by the squares it installed on your last few jobs. Material is delivered cost; "other" covers disposal, fasteners and consumables per unit.</t>
  </si>
  <si>
    <t>Price = cost × (1 + overhead) ÷ (1 − margin). A 15% markup on cost is only a 13% margin on price — the Markup vs Margin explanation is at buildworkpro.com/blog/construction-markup-vs-margin/.</t>
  </si>
  <si>
    <t>Free template by BuildWorkPro — buildworkpro.com/templates. Internal pricing sheet; copy the Price $/unit into the Estimate sheet.</t>
  </si>
  <si>
    <t>How to use the Roofing Estimate Template</t>
  </si>
  <si>
    <t>1.</t>
  </si>
  <si>
    <t>Measure the roof on the Roof Takeoff sheet: enter each plane’s plan dimensions and pitch, then the eaves, rakes, ridges, hips, valleys and wall lengths. Squares, bundles, rolls and linear footage compute.</t>
  </si>
  <si>
    <t>2.</t>
  </si>
  <si>
    <t>Build your selling prices on the Unit Prices sheet: material, labor hours and other cost per unit, your loaded labor rate, overhead, and profit as a margin on price.</t>
  </si>
  <si>
    <t>3.</t>
  </si>
  <si>
    <t>On the Estimate sheet, fill in your company, the customer and the job specs (area, pitch, layers, system, color), and describe the scope in two or three sentences.</t>
  </si>
  <si>
    <t>4.</t>
  </si>
  <si>
    <t>Enter the line items under each phase with quantity, unit and unit price. Mark taxable lines Y and enter your rate, or leave tax at 0% if it is already in your prices. Set the deposit.</t>
  </si>
  <si>
    <t>5.</t>
  </si>
  <si>
    <t>List optional items the customer can add (gutters, full redeck) — they are not in the total — then write your terms, including the decking allowance and warranty.</t>
  </si>
  <si>
    <t>6.</t>
  </si>
  <si>
    <t>Print or save as PDF, walk the customer through it, and get the acceptance signature and deposit before you order material.</t>
  </si>
  <si>
    <t>TIPS FROM THE FIELD</t>
  </si>
  <si>
    <t>•</t>
  </si>
  <si>
    <t>Carry an explicit decking allowance with a per-sheet price. It is the most common argument on a re-roof, and the one a written allowance settles before tear-off.</t>
  </si>
  <si>
    <t>Price tear-off by the number of layers. A second or third layer is more labor and more dumpster weight, and the takeoff sheet estimates the tonnage.</t>
  </si>
  <si>
    <t>Show the customer measured squares, not ordered squares. Waste belongs in your unit price, not in their quantity.</t>
  </si>
  <si>
    <t>Photograph the deck after tear-off. Photos make the allowance and any change order easy to approve.</t>
  </si>
  <si>
    <t>In BuildWorkPro every estimate is a bid built from line items priced from your product catalog, with margin and overhead applied as rates. It goes out as a branded PDF for e-signature and converts into a project when the customer accepts.</t>
  </si>
  <si>
    <t>https://buildworkpro.com/features/construction-bidding/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</si>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</sst>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mmm d, yyyy"/>
    <numFmt numFmtId="165" formatCode="&quot;$&quot;#,##0.00;[Red]-&quot;$&quot;#,##0.00;&quot;&quot;"/>
    <numFmt numFmtId="166" formatCode="&quot;$&quot;#,##0.00;[Red]-&quot;$&quot;#,##0.00"/>
    <numFmt numFmtId="167" formatCode="0.0%"/>
    <numFmt numFmtId="168" formatCode="#,##0.0;-#,##0.0;&quot;&quot;"/>
    <numFmt numFmtId="169" formatCode="0.0;-0.0;&quot;&quot;"/>
    <numFmt numFmtId="170" formatCode="0.000;-0.000;&quot;&quot;"/>
    <numFmt numFmtId="171" formatCode="#,##0;-#,##0;&quot;&quot;"/>
    <numFmt numFmtId="172" formatCode="0.0"/>
    <numFmt numFmtId="173" formatCode="0.000"/>
    <numFmt numFmtId="174" formatCode="0.00;-0.00;&quot;&quot;"/>
  </numFmts>
  <fonts count="21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b/>
      <color rgb="FF8B93A1"/>
      <sz val="7.5"/>
      <name val="Calibri"/>
    </font>
    <font>
      <color rgb="FF4A5260"/>
      <sz val="9"/>
      <name val="Calibri"/>
    </font>
    <font>
      <b/>
      <color rgb="FF4A5260"/>
      <sz val="7.5"/>
      <name val="Calibri"/>
    </font>
    <font>
      <b/>
      <color rgb="FF1B1F24"/>
      <sz val="8"/>
      <name val="Calibri"/>
    </font>
    <font>
      <color rgb="FF8B93A1"/>
      <sz val="10"/>
      <name val="Calibri"/>
    </font>
    <font>
      <b/>
      <color rgb="FF1B1F24"/>
      <sz val="9"/>
      <name val="Calibri"/>
    </font>
    <font>
      <b/>
      <color rgb="FF1B1F24"/>
      <sz val="10"/>
      <name val="Calibri"/>
    </font>
    <font>
      <b/>
      <sz val="12"/>
      <name val="Calibri"/>
    </font>
    <font>
      <b/>
      <color rgb="FF4A5260"/>
      <sz val="8"/>
      <name val="Calibri"/>
    </font>
    <font>
      <color rgb="FF8B93A1"/>
      <sz val="7"/>
      <name val="Calibri"/>
    </font>
    <font>
      <color rgb="FF8B93A1"/>
      <sz val="8"/>
      <name val="Calibri"/>
    </font>
    <font>
      <color rgb="FF4A5260"/>
      <sz val="9.5"/>
      <name val="Calibri"/>
    </font>
    <font>
      <color rgb="FF1B1F24"/>
      <sz val="9.5"/>
      <name val="Calibri"/>
    </font>
    <font>
      <b/>
      <color rgb="FF4A5260"/>
      <sz val="10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1B1F24"/>
      </bottom>
      <diagonal/>
    </border>
    <border>
      <left/>
      <right/>
      <top/>
      <bottom style="thin">
        <color rgb="FFD7DCE3"/>
      </bottom>
      <diagonal/>
    </border>
    <border>
      <left/>
      <right/>
      <top style="thin">
        <color rgb="FF4A5260"/>
      </top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center" vertical="bottom" wrapText="1"/>
    </xf>
    <xf numFmtId="0" fontId="8" fillId="3" borderId="3" xfId="0" applyFont="1" applyFill="1" applyBorder="1" applyAlignment="1">
      <alignment horizontal="left" vertical="bottom" wrapText="1"/>
    </xf>
    <xf numFmtId="0" fontId="8" fillId="3" borderId="3" xfId="0" applyFont="1" applyFill="1" applyBorder="1" applyAlignment="1">
      <alignment horizontal="right" vertical="bottom" wrapText="1"/>
    </xf>
    <xf numFmtId="0" fontId="9" fillId="0" borderId="4" xfId="0" applyFont="1" applyBorder="1" applyAlignment="1">
      <alignment vertical="bottom"/>
    </xf>
    <xf numFmtId="0" fontId="10" fillId="0" borderId="5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wrapText="1"/>
    </xf>
    <xf numFmtId="4" fontId="4" fillId="2" borderId="5" xfId="0" applyNumberFormat="1" applyFont="1" applyFill="1" applyBorder="1" applyAlignment="1">
      <alignment horizontal="right" vertical="center"/>
    </xf>
    <xf numFmtId="0" fontId="4" fillId="2" borderId="5" xfId="0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right" vertical="center"/>
    </xf>
    <xf numFmtId="165" fontId="4" fillId="0" borderId="5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166" fontId="12" fillId="0" borderId="6" xfId="0" applyNumberFormat="1" applyFont="1" applyBorder="1" applyAlignment="1">
      <alignment horizontal="right" vertical="center"/>
    </xf>
    <xf numFmtId="0" fontId="12" fillId="0" borderId="7" xfId="0" applyFont="1" applyBorder="1" applyAlignment="1">
      <alignment horizontal="left" vertical="center"/>
    </xf>
    <xf numFmtId="166" fontId="12" fillId="0" borderId="7" xfId="0" applyNumberFormat="1" applyFont="1" applyBorder="1" applyAlignment="1">
      <alignment horizontal="right" vertical="center"/>
    </xf>
    <xf numFmtId="0" fontId="7" fillId="0" borderId="0" xfId="0" applyFont="1" applyAlignment="1">
      <alignment horizontal="left" vertical="top"/>
    </xf>
    <xf numFmtId="166" fontId="2" fillId="0" borderId="0" xfId="0" applyNumberFormat="1" applyFont="1" applyAlignment="1">
      <alignment horizontal="right" vertical="center"/>
    </xf>
    <xf numFmtId="10" fontId="4" fillId="2" borderId="2" xfId="0" applyNumberFormat="1" applyFont="1" applyFill="1" applyBorder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166" fontId="13" fillId="0" borderId="7" xfId="0" applyNumberFormat="1" applyFont="1" applyBorder="1" applyAlignment="1">
      <alignment horizontal="right" vertical="center"/>
    </xf>
    <xf numFmtId="167" fontId="4" fillId="2" borderId="2" xfId="0" applyNumberFormat="1" applyFont="1" applyFill="1" applyBorder="1" applyAlignment="1">
      <alignment horizontal="right" vertical="center"/>
    </xf>
    <xf numFmtId="0" fontId="14" fillId="0" borderId="0" xfId="0" applyFont="1"/>
    <xf numFmtId="0" fontId="4" fillId="0" borderId="4" xfId="0" applyFont="1" applyBorder="1"/>
    <xf numFmtId="0" fontId="15" fillId="0" borderId="0" xfId="0" applyFont="1"/>
    <xf numFmtId="0" fontId="16" fillId="0" borderId="0" xfId="0" applyFont="1" applyAlignment="1">
      <alignment vertical="top" wrapText="1"/>
    </xf>
    <xf numFmtId="0" fontId="4" fillId="2" borderId="5" xfId="0" applyFont="1" applyFill="1" applyBorder="1" applyAlignment="1">
      <alignment horizontal="left" vertical="center"/>
    </xf>
    <xf numFmtId="168" fontId="4" fillId="2" borderId="5" xfId="0" applyNumberFormat="1" applyFont="1" applyFill="1" applyBorder="1" applyAlignment="1">
      <alignment horizontal="right" vertical="center"/>
    </xf>
    <xf numFmtId="169" fontId="4" fillId="2" borderId="5" xfId="0" applyNumberFormat="1" applyFont="1" applyFill="1" applyBorder="1" applyAlignment="1">
      <alignment horizontal="right" vertical="center"/>
    </xf>
    <xf numFmtId="170" fontId="4" fillId="0" borderId="5" xfId="0" applyNumberFormat="1" applyFont="1" applyBorder="1" applyAlignment="1">
      <alignment horizontal="right" vertical="center"/>
    </xf>
    <xf numFmtId="171" fontId="4" fillId="0" borderId="5" xfId="0" applyNumberFormat="1" applyFont="1" applyBorder="1" applyAlignment="1">
      <alignment horizontal="right" vertical="center"/>
    </xf>
    <xf numFmtId="3" fontId="12" fillId="0" borderId="7" xfId="0" applyNumberFormat="1" applyFont="1" applyBorder="1" applyAlignment="1">
      <alignment horizontal="right" vertical="center"/>
    </xf>
    <xf numFmtId="0" fontId="17" fillId="0" borderId="0" xfId="0" applyFont="1" applyAlignment="1">
      <alignment horizontal="left" vertical="top"/>
    </xf>
    <xf numFmtId="172" fontId="4" fillId="0" borderId="0" xfId="0" applyNumberFormat="1" applyFont="1" applyAlignment="1">
      <alignment horizontal="right" vertical="center"/>
    </xf>
    <xf numFmtId="1" fontId="4" fillId="2" borderId="2" xfId="0" applyNumberFormat="1" applyFont="1" applyFill="1" applyBorder="1" applyAlignment="1">
      <alignment horizontal="right" vertical="center"/>
    </xf>
    <xf numFmtId="3" fontId="4" fillId="2" borderId="2" xfId="0" applyNumberFormat="1" applyFont="1" applyFill="1" applyBorder="1" applyAlignment="1">
      <alignment horizontal="right" vertical="center"/>
    </xf>
    <xf numFmtId="173" fontId="4" fillId="2" borderId="2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left" vertical="top"/>
    </xf>
    <xf numFmtId="0" fontId="17" fillId="0" borderId="0" xfId="0" applyFont="1" applyAlignment="1">
      <alignment horizontal="center" vertical="top"/>
    </xf>
    <xf numFmtId="3" fontId="4" fillId="0" borderId="0" xfId="0" applyNumberFormat="1" applyFont="1" applyAlignment="1">
      <alignment horizontal="right" vertical="center"/>
    </xf>
    <xf numFmtId="0" fontId="7" fillId="3" borderId="8" xfId="0" applyFont="1" applyFill="1" applyBorder="1" applyAlignment="1">
      <alignment vertical="center" wrapText="1" indent="1"/>
    </xf>
    <xf numFmtId="166" fontId="4" fillId="2" borderId="2" xfId="0" applyNumberFormat="1" applyFont="1" applyFill="1" applyBorder="1" applyAlignment="1">
      <alignment horizontal="right" vertical="center"/>
    </xf>
    <xf numFmtId="174" fontId="4" fillId="2" borderId="5" xfId="0" applyNumberFormat="1" applyFont="1" applyFill="1" applyBorder="1" applyAlignment="1">
      <alignment horizontal="right" vertical="center"/>
    </xf>
    <xf numFmtId="0" fontId="19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construction-bidding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4"/>
  <sheetViews>
    <sheetView workbookViewId="0" showGridLines="0"/>
  </sheetViews>
  <sheetFormatPr defaultRowHeight="15" outlineLevelRow="0" outlineLevelCol="0" x14ac:dyDescent="55"/>
  <cols>
    <col min="1" max="1" width="5" customWidth="1"/>
    <col min="2" max="2" width="44" customWidth="1"/>
    <col min="4" max="4" width="8" customWidth="1"/>
    <col min="5" max="5" width="13" customWidth="1"/>
    <col min="6" max="6" width="7" customWidth="1"/>
    <col min="7" max="7" width="15" customWidth="1"/>
  </cols>
  <sheetData>
    <row r="1" ht="30" customHeight="1" spans="1:7" x14ac:dyDescent="0.25">
      <c r="A1" s="1" t="s">
        <v>0</v>
      </c>
      <c r="E1" s="2" t="s">
        <v>1</v>
      </c>
      <c r="F1" s="2"/>
      <c r="G1" s="2"/>
    </row>
    <row r="2" spans="1:1" x14ac:dyDescent="0.25">
      <c r="A2" s="3" t="s">
        <v>2</v>
      </c>
    </row>
    <row r="3" ht="6" customHeight="1" spans="1:7" x14ac:dyDescent="0.25">
      <c r="A3" s="4"/>
      <c r="B3" s="4"/>
      <c r="C3" s="4"/>
      <c r="D3" s="4"/>
      <c r="E3" s="4"/>
      <c r="F3" s="4"/>
      <c r="G3" s="4"/>
    </row>
    <row r="4" spans="1:2" x14ac:dyDescent="0.25">
      <c r="A4" s="5"/>
      <c r="B4" s="6" t="s">
        <v>3</v>
      </c>
    </row>
    <row r="6" spans="1:3" x14ac:dyDescent="0.25">
      <c r="A6" s="7" t="s">
        <v>4</v>
      </c>
      <c r="C6" s="7" t="s">
        <v>5</v>
      </c>
    </row>
    <row r="7" spans="1:7" x14ac:dyDescent="0.25">
      <c r="A7" s="8" t="s">
        <v>6</v>
      </c>
      <c r="B7" s="9"/>
      <c r="C7" s="8" t="s">
        <v>7</v>
      </c>
      <c r="D7" s="8"/>
      <c r="E7" s="9"/>
      <c r="F7" s="9"/>
      <c r="G7" s="9"/>
    </row>
    <row r="8" spans="1:7" x14ac:dyDescent="0.25">
      <c r="A8" s="8" t="s">
        <v>8</v>
      </c>
      <c r="B8" s="9"/>
      <c r="C8" s="8" t="s">
        <v>9</v>
      </c>
      <c r="D8" s="8"/>
      <c r="E8" s="10"/>
      <c r="F8" s="10"/>
      <c r="G8" s="10"/>
    </row>
    <row r="9" spans="1:7" x14ac:dyDescent="0.25">
      <c r="A9" s="8" t="s">
        <v>10</v>
      </c>
      <c r="B9" s="9"/>
      <c r="C9" s="8" t="s">
        <v>11</v>
      </c>
      <c r="D9" s="8"/>
      <c r="E9" s="10"/>
      <c r="F9" s="10"/>
      <c r="G9" s="10"/>
    </row>
    <row r="11" spans="1:3" x14ac:dyDescent="0.25">
      <c r="A11" s="7" t="s">
        <v>12</v>
      </c>
      <c r="C11" s="7" t="s">
        <v>13</v>
      </c>
    </row>
    <row r="12" spans="1:7" x14ac:dyDescent="0.25">
      <c r="A12" s="8" t="s">
        <v>14</v>
      </c>
      <c r="B12" s="9"/>
      <c r="C12" s="8" t="s">
        <v>15</v>
      </c>
      <c r="D12" s="8"/>
      <c r="E12" s="9"/>
      <c r="F12" s="9"/>
      <c r="G12" s="9"/>
    </row>
    <row r="13" spans="1:7" x14ac:dyDescent="0.25">
      <c r="A13" s="8" t="s">
        <v>8</v>
      </c>
      <c r="B13" s="9"/>
      <c r="C13" s="8" t="s">
        <v>16</v>
      </c>
      <c r="D13" s="8"/>
      <c r="E13" s="9"/>
      <c r="F13" s="9"/>
      <c r="G13" s="9"/>
    </row>
    <row r="14" spans="1:7" x14ac:dyDescent="0.25">
      <c r="A14" s="8" t="s">
        <v>17</v>
      </c>
      <c r="B14" s="9"/>
      <c r="C14" s="8" t="s">
        <v>18</v>
      </c>
      <c r="D14" s="8"/>
      <c r="E14" s="9"/>
      <c r="F14" s="9"/>
      <c r="G14" s="9"/>
    </row>
    <row r="16" spans="1:1" x14ac:dyDescent="0.25">
      <c r="A16" s="7" t="s">
        <v>19</v>
      </c>
    </row>
    <row r="17" spans="1:7" x14ac:dyDescent="0.25">
      <c r="A17" s="8" t="s">
        <v>20</v>
      </c>
      <c r="B17" s="9"/>
      <c r="C17" s="8" t="s">
        <v>21</v>
      </c>
      <c r="D17" s="8"/>
      <c r="E17" s="9"/>
      <c r="F17" s="9"/>
      <c r="G17" s="9"/>
    </row>
    <row r="18" spans="1:7" x14ac:dyDescent="0.25">
      <c r="A18" s="8" t="s">
        <v>22</v>
      </c>
      <c r="B18" s="9"/>
      <c r="C18" s="8" t="s">
        <v>23</v>
      </c>
      <c r="D18" s="8"/>
      <c r="E18" s="9"/>
      <c r="F18" s="9"/>
      <c r="G18" s="9"/>
    </row>
    <row r="19" spans="1:2" x14ac:dyDescent="0.25">
      <c r="A19" s="8" t="s">
        <v>24</v>
      </c>
      <c r="B19" s="9"/>
    </row>
    <row r="21" spans="1:1" x14ac:dyDescent="0.25">
      <c r="A21" s="7" t="s">
        <v>25</v>
      </c>
    </row>
    <row r="22" ht="20" customHeight="1" spans="1:7" x14ac:dyDescent="0.25">
      <c r="A22" s="11"/>
      <c r="B22" s="11"/>
      <c r="C22" s="11"/>
      <c r="D22" s="11"/>
      <c r="E22" s="11"/>
      <c r="F22" s="11"/>
      <c r="G22" s="11"/>
    </row>
    <row r="23" ht="20" customHeight="1" spans="1:7" x14ac:dyDescent="0.25">
      <c r="A23" s="11"/>
      <c r="B23" s="11"/>
      <c r="C23" s="11"/>
      <c r="D23" s="11"/>
      <c r="E23" s="11"/>
      <c r="F23" s="11"/>
      <c r="G23" s="11"/>
    </row>
    <row r="25" ht="22" customHeight="1" spans="1:7" x14ac:dyDescent="0.25">
      <c r="A25" s="12" t="s">
        <v>26</v>
      </c>
      <c r="B25" s="13" t="s">
        <v>27</v>
      </c>
      <c r="C25" s="14" t="s">
        <v>28</v>
      </c>
      <c r="D25" s="12" t="s">
        <v>29</v>
      </c>
      <c r="E25" s="14" t="s">
        <v>30</v>
      </c>
      <c r="F25" s="12" t="s">
        <v>31</v>
      </c>
      <c r="G25" s="14" t="s">
        <v>32</v>
      </c>
    </row>
    <row r="26" ht="20" customHeight="1" spans="1:7" x14ac:dyDescent="0.25">
      <c r="A26" s="15" t="s">
        <v>33</v>
      </c>
      <c r="B26" s="15"/>
      <c r="C26" s="15"/>
      <c r="D26" s="15"/>
      <c r="E26" s="15"/>
      <c r="F26" s="15"/>
      <c r="G26" s="15"/>
    </row>
    <row r="27" spans="1:7" x14ac:dyDescent="0.25">
      <c r="A27" s="16">
        <v>1</v>
      </c>
      <c r="B27" s="17"/>
      <c r="C27" s="18"/>
      <c r="D27" s="19"/>
      <c r="E27" s="20"/>
      <c r="F27" s="19"/>
      <c r="G27" s="21">
        <f>IF(OR(C27="",E27=""),"",C27*E27)</f>
      </c>
    </row>
    <row r="28" spans="1:7" x14ac:dyDescent="0.25">
      <c r="A28" s="16">
        <v>2</v>
      </c>
      <c r="B28" s="17"/>
      <c r="C28" s="18"/>
      <c r="D28" s="19"/>
      <c r="E28" s="20"/>
      <c r="F28" s="19"/>
      <c r="G28" s="21">
        <f>IF(OR(C28="",E28=""),"",C28*E28)</f>
      </c>
    </row>
    <row r="29" spans="1:7" x14ac:dyDescent="0.25">
      <c r="A29" s="16">
        <v>3</v>
      </c>
      <c r="B29" s="17"/>
      <c r="C29" s="18"/>
      <c r="D29" s="19"/>
      <c r="E29" s="20"/>
      <c r="F29" s="19"/>
      <c r="G29" s="21">
        <f>IF(OR(C29="",E29=""),"",C29*E29)</f>
      </c>
    </row>
    <row r="30" spans="1:7" x14ac:dyDescent="0.25">
      <c r="A30" s="16">
        <v>4</v>
      </c>
      <c r="B30" s="17"/>
      <c r="C30" s="18"/>
      <c r="D30" s="19"/>
      <c r="E30" s="20"/>
      <c r="F30" s="19"/>
      <c r="G30" s="21">
        <f>IF(OR(C30="",E30=""),"",C30*E30)</f>
      </c>
    </row>
    <row r="31" spans="1:7" x14ac:dyDescent="0.25">
      <c r="A31" s="22" t="s">
        <v>34</v>
      </c>
      <c r="B31" s="23" t="s">
        <v>35</v>
      </c>
      <c r="C31" s="22"/>
      <c r="D31" s="22"/>
      <c r="E31" s="22"/>
      <c r="F31" s="22"/>
      <c r="G31" s="24">
        <f>SUM(G27:G30)</f>
      </c>
    </row>
    <row r="33" ht="20" customHeight="1" spans="1:7" x14ac:dyDescent="0.25">
      <c r="A33" s="15" t="s">
        <v>36</v>
      </c>
      <c r="B33" s="15"/>
      <c r="C33" s="15"/>
      <c r="D33" s="15"/>
      <c r="E33" s="15"/>
      <c r="F33" s="15"/>
      <c r="G33" s="15"/>
    </row>
    <row r="34" spans="1:7" x14ac:dyDescent="0.25">
      <c r="A34" s="16">
        <v>5</v>
      </c>
      <c r="B34" s="17"/>
      <c r="C34" s="18"/>
      <c r="D34" s="19"/>
      <c r="E34" s="20"/>
      <c r="F34" s="19"/>
      <c r="G34" s="21">
        <f>IF(OR(C34="",E34=""),"",C34*E34)</f>
      </c>
    </row>
    <row r="35" spans="1:7" x14ac:dyDescent="0.25">
      <c r="A35" s="16">
        <v>6</v>
      </c>
      <c r="B35" s="17"/>
      <c r="C35" s="18"/>
      <c r="D35" s="19"/>
      <c r="E35" s="20"/>
      <c r="F35" s="19"/>
      <c r="G35" s="21">
        <f>IF(OR(C35="",E35=""),"",C35*E35)</f>
      </c>
    </row>
    <row r="36" spans="1:7" x14ac:dyDescent="0.25">
      <c r="A36" s="16">
        <v>7</v>
      </c>
      <c r="B36" s="17"/>
      <c r="C36" s="18"/>
      <c r="D36" s="19"/>
      <c r="E36" s="20"/>
      <c r="F36" s="19"/>
      <c r="G36" s="21">
        <f>IF(OR(C36="",E36=""),"",C36*E36)</f>
      </c>
    </row>
    <row r="37" spans="1:7" x14ac:dyDescent="0.25">
      <c r="A37" s="16">
        <v>8</v>
      </c>
      <c r="B37" s="17"/>
      <c r="C37" s="18"/>
      <c r="D37" s="19"/>
      <c r="E37" s="20"/>
      <c r="F37" s="19"/>
      <c r="G37" s="21">
        <f>IF(OR(C37="",E37=""),"",C37*E37)</f>
      </c>
    </row>
    <row r="38" spans="1:7" x14ac:dyDescent="0.25">
      <c r="A38" s="16">
        <v>9</v>
      </c>
      <c r="B38" s="17"/>
      <c r="C38" s="18"/>
      <c r="D38" s="19"/>
      <c r="E38" s="20"/>
      <c r="F38" s="19"/>
      <c r="G38" s="21">
        <f>IF(OR(C38="",E38=""),"",C38*E38)</f>
      </c>
    </row>
    <row r="39" spans="1:7" x14ac:dyDescent="0.25">
      <c r="A39" s="22" t="s">
        <v>34</v>
      </c>
      <c r="B39" s="23" t="s">
        <v>37</v>
      </c>
      <c r="C39" s="22"/>
      <c r="D39" s="22"/>
      <c r="E39" s="22"/>
      <c r="F39" s="22"/>
      <c r="G39" s="24">
        <f>SUM(G34:G38)</f>
      </c>
    </row>
    <row r="41" ht="20" customHeight="1" spans="1:7" x14ac:dyDescent="0.25">
      <c r="A41" s="15" t="s">
        <v>38</v>
      </c>
      <c r="B41" s="15"/>
      <c r="C41" s="15"/>
      <c r="D41" s="15"/>
      <c r="E41" s="15"/>
      <c r="F41" s="15"/>
      <c r="G41" s="15"/>
    </row>
    <row r="42" spans="1:7" x14ac:dyDescent="0.25">
      <c r="A42" s="16">
        <v>10</v>
      </c>
      <c r="B42" s="17"/>
      <c r="C42" s="18"/>
      <c r="D42" s="19"/>
      <c r="E42" s="20"/>
      <c r="F42" s="19"/>
      <c r="G42" s="21">
        <f>IF(OR(C42="",E42=""),"",C42*E42)</f>
      </c>
    </row>
    <row r="43" spans="1:7" x14ac:dyDescent="0.25">
      <c r="A43" s="16">
        <v>11</v>
      </c>
      <c r="B43" s="17"/>
      <c r="C43" s="18"/>
      <c r="D43" s="19"/>
      <c r="E43" s="20"/>
      <c r="F43" s="19"/>
      <c r="G43" s="21">
        <f>IF(OR(C43="",E43=""),"",C43*E43)</f>
      </c>
    </row>
    <row r="44" spans="1:7" x14ac:dyDescent="0.25">
      <c r="A44" s="16">
        <v>12</v>
      </c>
      <c r="B44" s="17"/>
      <c r="C44" s="18"/>
      <c r="D44" s="19"/>
      <c r="E44" s="20"/>
      <c r="F44" s="19"/>
      <c r="G44" s="21">
        <f>IF(OR(C44="",E44=""),"",C44*E44)</f>
      </c>
    </row>
    <row r="45" spans="1:7" x14ac:dyDescent="0.25">
      <c r="A45" s="16">
        <v>13</v>
      </c>
      <c r="B45" s="17"/>
      <c r="C45" s="18"/>
      <c r="D45" s="19"/>
      <c r="E45" s="20"/>
      <c r="F45" s="19"/>
      <c r="G45" s="21">
        <f>IF(OR(C45="",E45=""),"",C45*E45)</f>
      </c>
    </row>
    <row r="46" spans="1:7" x14ac:dyDescent="0.25">
      <c r="A46" s="22" t="s">
        <v>34</v>
      </c>
      <c r="B46" s="23" t="s">
        <v>39</v>
      </c>
      <c r="C46" s="22"/>
      <c r="D46" s="22"/>
      <c r="E46" s="22"/>
      <c r="F46" s="22"/>
      <c r="G46" s="24">
        <f>SUM(G42:G45)</f>
      </c>
    </row>
    <row r="48" ht="22" customHeight="1" spans="1:7" x14ac:dyDescent="0.25">
      <c r="A48" s="25" t="s">
        <v>34</v>
      </c>
      <c r="B48" s="25" t="s">
        <v>40</v>
      </c>
      <c r="C48" s="25"/>
      <c r="D48" s="25"/>
      <c r="E48" s="25"/>
      <c r="F48" s="25"/>
      <c r="G48" s="26">
        <f>G31+G39+G46</f>
      </c>
    </row>
    <row r="49" spans="2:7" x14ac:dyDescent="0.25">
      <c r="B49" s="27" t="s">
        <v>41</v>
      </c>
      <c r="G49" s="28">
        <f>SUMIF(F27:F30,"Y",G27:G30)+SUMIF(F34:F38,"Y",G34:G38)+SUMIF(F42:F45,"Y",G42:G45)</f>
      </c>
    </row>
    <row r="50" spans="2:7" x14ac:dyDescent="0.25">
      <c r="B50" s="27" t="s">
        <v>42</v>
      </c>
      <c r="E50" s="29">
        <v>0</v>
      </c>
      <c r="G50" s="30">
        <f>ROUND(G49*E50,2)</f>
      </c>
    </row>
    <row r="51" ht="22" customHeight="1" spans="1:7" x14ac:dyDescent="0.25">
      <c r="A51" s="25" t="s">
        <v>34</v>
      </c>
      <c r="B51" s="25" t="s">
        <v>43</v>
      </c>
      <c r="C51" s="25"/>
      <c r="D51" s="25"/>
      <c r="E51" s="25"/>
      <c r="F51" s="25"/>
      <c r="G51" s="31">
        <f>G48+G50</f>
      </c>
    </row>
    <row r="52" spans="2:7" x14ac:dyDescent="0.25">
      <c r="B52" s="27" t="s">
        <v>44</v>
      </c>
      <c r="E52" s="32">
        <v>0.3</v>
      </c>
      <c r="G52" s="30">
        <f>ROUND(G51*E52,2)</f>
      </c>
    </row>
    <row r="53" spans="2:7" x14ac:dyDescent="0.25">
      <c r="B53" s="27" t="s">
        <v>45</v>
      </c>
      <c r="G53" s="30">
        <f>G51-G52</f>
      </c>
    </row>
    <row r="55" ht="22" customHeight="1" spans="1:7" x14ac:dyDescent="0.25">
      <c r="A55" s="12" t="s">
        <v>46</v>
      </c>
      <c r="B55" s="13" t="s">
        <v>47</v>
      </c>
      <c r="C55" s="13" t="s">
        <v>34</v>
      </c>
      <c r="D55" s="13" t="s">
        <v>34</v>
      </c>
      <c r="E55" s="13" t="s">
        <v>34</v>
      </c>
      <c r="F55" s="13" t="s">
        <v>34</v>
      </c>
      <c r="G55" s="14" t="s">
        <v>48</v>
      </c>
    </row>
    <row r="56" spans="1:7" x14ac:dyDescent="0.25">
      <c r="A56" s="16" t="s">
        <v>49</v>
      </c>
      <c r="B56" s="17"/>
      <c r="C56" s="17"/>
      <c r="D56" s="17"/>
      <c r="E56" s="17"/>
      <c r="F56" s="17"/>
      <c r="G56" s="20"/>
    </row>
    <row r="57" spans="1:7" x14ac:dyDescent="0.25">
      <c r="A57" s="16" t="s">
        <v>50</v>
      </c>
      <c r="B57" s="17"/>
      <c r="C57" s="17"/>
      <c r="D57" s="17"/>
      <c r="E57" s="17"/>
      <c r="F57" s="17"/>
      <c r="G57" s="20"/>
    </row>
    <row r="58" spans="1:7" x14ac:dyDescent="0.25">
      <c r="A58" s="16" t="s">
        <v>51</v>
      </c>
      <c r="B58" s="17"/>
      <c r="C58" s="17"/>
      <c r="D58" s="17"/>
      <c r="E58" s="17"/>
      <c r="F58" s="17"/>
      <c r="G58" s="20"/>
    </row>
    <row r="60" spans="1:1" x14ac:dyDescent="0.25">
      <c r="A60" s="7" t="s">
        <v>52</v>
      </c>
    </row>
    <row r="61" ht="18" customHeight="1" spans="1:7" x14ac:dyDescent="0.25">
      <c r="A61" s="11"/>
      <c r="B61" s="11"/>
      <c r="C61" s="11"/>
      <c r="D61" s="11"/>
      <c r="E61" s="11"/>
      <c r="F61" s="11"/>
      <c r="G61" s="11"/>
    </row>
    <row r="62" ht="18" customHeight="1" spans="1:7" x14ac:dyDescent="0.25">
      <c r="A62" s="11"/>
      <c r="B62" s="11"/>
      <c r="C62" s="11"/>
      <c r="D62" s="11"/>
      <c r="E62" s="11"/>
      <c r="F62" s="11"/>
      <c r="G62" s="11"/>
    </row>
    <row r="63" ht="18" customHeight="1" spans="1:7" x14ac:dyDescent="0.25">
      <c r="A63" s="11"/>
      <c r="B63" s="11"/>
      <c r="C63" s="11"/>
      <c r="D63" s="11"/>
      <c r="E63" s="11"/>
      <c r="F63" s="11"/>
      <c r="G63" s="11"/>
    </row>
    <row r="65" spans="1:5" x14ac:dyDescent="0.25">
      <c r="A65" s="33" t="s">
        <v>53</v>
      </c>
      <c r="E65" s="33" t="s">
        <v>54</v>
      </c>
    </row>
    <row r="67" ht="22" customHeight="1" spans="1:7" x14ac:dyDescent="0.25">
      <c r="A67" s="34"/>
      <c r="B67" s="34"/>
      <c r="C67" s="34"/>
      <c r="E67" s="34"/>
      <c r="F67" s="34"/>
      <c r="G67" s="34"/>
    </row>
    <row r="68" spans="1:5" x14ac:dyDescent="0.25">
      <c r="A68" s="35" t="s">
        <v>55</v>
      </c>
      <c r="E68" s="35" t="s">
        <v>55</v>
      </c>
    </row>
    <row r="69" ht="22" customHeight="1" spans="1:7" x14ac:dyDescent="0.25">
      <c r="A69" s="34"/>
      <c r="B69" s="34"/>
      <c r="C69" s="34"/>
      <c r="E69" s="34"/>
      <c r="F69" s="34"/>
      <c r="G69" s="34"/>
    </row>
    <row r="70" spans="1:5" x14ac:dyDescent="0.25">
      <c r="A70" s="35" t="s">
        <v>56</v>
      </c>
      <c r="E70" s="35" t="s">
        <v>56</v>
      </c>
    </row>
    <row r="71" ht="22" customHeight="1" spans="1:7" x14ac:dyDescent="0.25">
      <c r="A71" s="34"/>
      <c r="B71" s="34"/>
      <c r="C71" s="34"/>
      <c r="E71" s="34"/>
      <c r="F71" s="34"/>
      <c r="G71" s="34"/>
    </row>
    <row r="72" spans="1:5" x14ac:dyDescent="0.25">
      <c r="A72" s="35" t="s">
        <v>57</v>
      </c>
      <c r="E72" s="35" t="s">
        <v>57</v>
      </c>
    </row>
    <row r="74" ht="39" customHeight="1" spans="1:7" x14ac:dyDescent="0.25">
      <c r="A74" s="36" t="s">
        <v>58</v>
      </c>
      <c r="B74" s="36"/>
      <c r="C74" s="36"/>
      <c r="D74" s="36"/>
      <c r="E74" s="36"/>
      <c r="F74" s="36"/>
      <c r="G74" s="36"/>
    </row>
  </sheetData>
  <mergeCells count="29">
    <mergeCell ref="E1:G1"/>
    <mergeCell ref="C7:D7"/>
    <mergeCell ref="E7:G7"/>
    <mergeCell ref="C8:D8"/>
    <mergeCell ref="E8:G8"/>
    <mergeCell ref="C9:D9"/>
    <mergeCell ref="E9:G9"/>
    <mergeCell ref="C12:D12"/>
    <mergeCell ref="E12:G12"/>
    <mergeCell ref="C13:D13"/>
    <mergeCell ref="E13:G13"/>
    <mergeCell ref="C14:D14"/>
    <mergeCell ref="E14:G14"/>
    <mergeCell ref="C17:D17"/>
    <mergeCell ref="E17:G17"/>
    <mergeCell ref="C18:D18"/>
    <mergeCell ref="E18:G18"/>
    <mergeCell ref="A22:G23"/>
    <mergeCell ref="B56:F56"/>
    <mergeCell ref="B57:F57"/>
    <mergeCell ref="B58:F58"/>
    <mergeCell ref="A61:G63"/>
    <mergeCell ref="A67:C67"/>
    <mergeCell ref="E67:G67"/>
    <mergeCell ref="A69:C69"/>
    <mergeCell ref="E69:G69"/>
    <mergeCell ref="A71:C71"/>
    <mergeCell ref="E71:G71"/>
    <mergeCell ref="A74:G74"/>
  </mergeCells>
  <dataValidations count="3">
    <dataValidation type="list" allowBlank="1" showErrorMessage="1" errorTitle="Pick from the list" error="Choose one of: Y, N" sqref="F27:F30">
      <formula1>"Y,N"</formula1>
    </dataValidation>
    <dataValidation type="list" allowBlank="1" showErrorMessage="1" errorTitle="Pick from the list" error="Choose one of: Y, N" sqref="F34:F38">
      <formula1>"Y,N"</formula1>
    </dataValidation>
    <dataValidation type="list" allowBlank="1" showErrorMessage="1" errorTitle="Pick from the list" error="Choose one of: Y, N" sqref="F42:F45">
      <formula1>"Y,N"</formula1>
    </dataValidation>
  </dataValidations>
  <hyperlinks>
    <hyperlink ref="A74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buildworkpro.com/templates&amp;C&amp;8&amp;K8B93A1Estimate&amp;R&amp;8&amp;K8B93A1Page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6"/>
  <sheetViews>
    <sheetView workbookViewId="0" showGridLines="0"/>
  </sheetViews>
  <sheetFormatPr defaultRowHeight="15" outlineLevelRow="0" outlineLevelCol="0" x14ac:dyDescent="55"/>
  <cols>
    <col min="1" max="1" width="30" customWidth="1"/>
    <col min="2" max="3" width="13" customWidth="1"/>
    <col min="4" max="5" width="12" customWidth="1"/>
    <col min="6" max="6" width="15" customWidth="1"/>
  </cols>
  <sheetData>
    <row r="1" ht="30" customHeight="1" spans="1:1" x14ac:dyDescent="0.25">
      <c r="A1" s="1" t="s">
        <v>59</v>
      </c>
    </row>
    <row r="2" spans="1:1" x14ac:dyDescent="0.25">
      <c r="A2" s="3" t="s">
        <v>60</v>
      </c>
    </row>
    <row r="3" ht="6" customHeight="1" spans="1:6" x14ac:dyDescent="0.25">
      <c r="A3" s="4"/>
      <c r="B3" s="4"/>
      <c r="C3" s="4"/>
      <c r="D3" s="4"/>
      <c r="E3" s="4"/>
      <c r="F3" s="4"/>
    </row>
    <row r="4" spans="1:2" x14ac:dyDescent="0.25">
      <c r="A4" s="5"/>
      <c r="B4" s="6" t="s">
        <v>3</v>
      </c>
    </row>
    <row r="6" ht="22" customHeight="1" spans="1:6" x14ac:dyDescent="0.25">
      <c r="A6" s="13" t="s">
        <v>61</v>
      </c>
      <c r="B6" s="14" t="s">
        <v>62</v>
      </c>
      <c r="C6" s="14" t="s">
        <v>63</v>
      </c>
      <c r="D6" s="14" t="s">
        <v>64</v>
      </c>
      <c r="E6" s="14" t="s">
        <v>65</v>
      </c>
      <c r="F6" s="14" t="s">
        <v>66</v>
      </c>
    </row>
    <row r="7" spans="1:6" x14ac:dyDescent="0.25">
      <c r="A7" s="37" t="s">
        <v>67</v>
      </c>
      <c r="B7" s="38">
        <v>52</v>
      </c>
      <c r="C7" s="38">
        <v>18</v>
      </c>
      <c r="D7" s="39">
        <v>6</v>
      </c>
      <c r="E7" s="40">
        <f>IF(B7="","",SQRT(1+(N(D7)/12)^2))</f>
      </c>
      <c r="F7" s="41">
        <f>IF(OR(B7="",C7=""),"",B7*C7*E7)</f>
      </c>
    </row>
    <row r="8" spans="1:6" x14ac:dyDescent="0.25">
      <c r="A8" s="37" t="s">
        <v>68</v>
      </c>
      <c r="B8" s="38">
        <v>52</v>
      </c>
      <c r="C8" s="38">
        <v>18</v>
      </c>
      <c r="D8" s="39">
        <v>6</v>
      </c>
      <c r="E8" s="40">
        <f>IF(B8="","",SQRT(1+(N(D8)/12)^2))</f>
      </c>
      <c r="F8" s="41">
        <f>IF(OR(B8="",C8=""),"",B8*C8*E8)</f>
      </c>
    </row>
    <row r="9" spans="1:6" x14ac:dyDescent="0.25">
      <c r="A9" s="37" t="s">
        <v>69</v>
      </c>
      <c r="B9" s="38">
        <v>26</v>
      </c>
      <c r="C9" s="38">
        <v>12</v>
      </c>
      <c r="D9" s="39">
        <v>8</v>
      </c>
      <c r="E9" s="40">
        <f>IF(B9="","",SQRT(1+(N(D9)/12)^2))</f>
      </c>
      <c r="F9" s="41">
        <f>IF(OR(B9="",C9=""),"",B9*C9*E9)</f>
      </c>
    </row>
    <row r="10" spans="1:6" x14ac:dyDescent="0.25">
      <c r="A10" s="37" t="s">
        <v>70</v>
      </c>
      <c r="B10" s="38">
        <v>26</v>
      </c>
      <c r="C10" s="38">
        <v>12</v>
      </c>
      <c r="D10" s="39">
        <v>8</v>
      </c>
      <c r="E10" s="40">
        <f>IF(B10="","",SQRT(1+(N(D10)/12)^2))</f>
      </c>
      <c r="F10" s="41">
        <f>IF(OR(B10="",C10=""),"",B10*C10*E10)</f>
      </c>
    </row>
    <row r="11" spans="1:6" x14ac:dyDescent="0.25">
      <c r="A11" s="37"/>
      <c r="B11" s="38"/>
      <c r="C11" s="38"/>
      <c r="D11" s="39"/>
      <c r="E11" s="40">
        <f>IF(B11="","",SQRT(1+(N(D11)/12)^2))</f>
      </c>
      <c r="F11" s="41">
        <f>IF(OR(B11="",C11=""),"",B11*C11*E11)</f>
      </c>
    </row>
    <row r="12" spans="1:6" x14ac:dyDescent="0.25">
      <c r="A12" s="37"/>
      <c r="B12" s="38"/>
      <c r="C12" s="38"/>
      <c r="D12" s="39"/>
      <c r="E12" s="40">
        <f>IF(B12="","",SQRT(1+(N(D12)/12)^2))</f>
      </c>
      <c r="F12" s="41">
        <f>IF(OR(B12="",C12=""),"",B12*C12*E12)</f>
      </c>
    </row>
    <row r="13" spans="1:6" x14ac:dyDescent="0.25">
      <c r="A13" s="37"/>
      <c r="B13" s="38"/>
      <c r="C13" s="38"/>
      <c r="D13" s="39"/>
      <c r="E13" s="40">
        <f>IF(B13="","",SQRT(1+(N(D13)/12)^2))</f>
      </c>
      <c r="F13" s="41">
        <f>IF(OR(B13="",C13=""),"",B13*C13*E13)</f>
      </c>
    </row>
    <row r="14" spans="1:6" x14ac:dyDescent="0.25">
      <c r="A14" s="37"/>
      <c r="B14" s="38"/>
      <c r="C14" s="38"/>
      <c r="D14" s="39"/>
      <c r="E14" s="40">
        <f>IF(B14="","",SQRT(1+(N(D14)/12)^2))</f>
      </c>
      <c r="F14" s="41">
        <f>IF(OR(B14="",C14=""),"",B14*C14*E14)</f>
      </c>
    </row>
    <row r="15" spans="1:6" x14ac:dyDescent="0.25">
      <c r="A15" s="37"/>
      <c r="B15" s="38"/>
      <c r="C15" s="38"/>
      <c r="D15" s="39"/>
      <c r="E15" s="40">
        <f>IF(B15="","",SQRT(1+(N(D15)/12)^2))</f>
      </c>
      <c r="F15" s="41">
        <f>IF(OR(B15="",C15=""),"",B15*C15*E15)</f>
      </c>
    </row>
    <row r="16" spans="1:6" x14ac:dyDescent="0.25">
      <c r="A16" s="37"/>
      <c r="B16" s="38"/>
      <c r="C16" s="38"/>
      <c r="D16" s="39"/>
      <c r="E16" s="40">
        <f>IF(B16="","",SQRT(1+(N(D16)/12)^2))</f>
      </c>
      <c r="F16" s="41">
        <f>IF(OR(B16="",C16=""),"",B16*C16*E16)</f>
      </c>
    </row>
    <row r="17" ht="22" customHeight="1" spans="1:6" x14ac:dyDescent="0.25">
      <c r="A17" s="25" t="s">
        <v>71</v>
      </c>
      <c r="B17" s="25"/>
      <c r="C17" s="25"/>
      <c r="D17" s="25"/>
      <c r="E17" s="25"/>
      <c r="F17" s="42">
        <f>SUM(F7:F16)</f>
      </c>
    </row>
    <row r="18" spans="1:6" x14ac:dyDescent="0.25">
      <c r="A18" s="43" t="s">
        <v>72</v>
      </c>
      <c r="F18" s="44">
        <f>F17/100</f>
      </c>
    </row>
    <row r="20" spans="1:1" x14ac:dyDescent="0.25">
      <c r="A20" s="7" t="s">
        <v>73</v>
      </c>
    </row>
    <row r="21" spans="1:6" x14ac:dyDescent="0.25">
      <c r="A21" s="8" t="s">
        <v>74</v>
      </c>
      <c r="B21" s="8"/>
      <c r="C21" s="8"/>
      <c r="D21" s="8"/>
      <c r="E21" s="8"/>
      <c r="F21" s="32">
        <v>0.12</v>
      </c>
    </row>
    <row r="22" spans="1:6" x14ac:dyDescent="0.25">
      <c r="A22" s="8" t="s">
        <v>75</v>
      </c>
      <c r="B22" s="8"/>
      <c r="C22" s="8"/>
      <c r="D22" s="8"/>
      <c r="E22" s="8"/>
      <c r="F22" s="45">
        <v>3</v>
      </c>
    </row>
    <row r="23" spans="1:6" x14ac:dyDescent="0.25">
      <c r="A23" s="8" t="s">
        <v>76</v>
      </c>
      <c r="B23" s="8"/>
      <c r="C23" s="8"/>
      <c r="D23" s="8"/>
      <c r="E23" s="8"/>
      <c r="F23" s="45">
        <v>2</v>
      </c>
    </row>
    <row r="24" spans="1:6" x14ac:dyDescent="0.25">
      <c r="A24" s="8" t="s">
        <v>77</v>
      </c>
      <c r="B24" s="8"/>
      <c r="C24" s="8"/>
      <c r="D24" s="8"/>
      <c r="E24" s="8"/>
      <c r="F24" s="46">
        <v>250</v>
      </c>
    </row>
    <row r="25" spans="1:6" x14ac:dyDescent="0.25">
      <c r="A25" s="8" t="s">
        <v>78</v>
      </c>
      <c r="B25" s="8"/>
      <c r="C25" s="8"/>
      <c r="D25" s="8"/>
      <c r="E25" s="8"/>
      <c r="F25" s="45">
        <v>25</v>
      </c>
    </row>
    <row r="26" spans="1:6" x14ac:dyDescent="0.25">
      <c r="A26" s="8" t="s">
        <v>79</v>
      </c>
      <c r="B26" s="8"/>
      <c r="C26" s="8"/>
      <c r="D26" s="8"/>
      <c r="E26" s="8"/>
      <c r="F26" s="46">
        <v>200</v>
      </c>
    </row>
    <row r="27" spans="1:6" x14ac:dyDescent="0.25">
      <c r="A27" s="8" t="s">
        <v>80</v>
      </c>
      <c r="B27" s="8"/>
      <c r="C27" s="8"/>
      <c r="D27" s="8"/>
      <c r="E27" s="8"/>
      <c r="F27" s="45">
        <v>2</v>
      </c>
    </row>
    <row r="28" spans="1:6" x14ac:dyDescent="0.25">
      <c r="A28" s="8" t="s">
        <v>81</v>
      </c>
      <c r="B28" s="8"/>
      <c r="C28" s="8"/>
      <c r="D28" s="8"/>
      <c r="E28" s="8"/>
      <c r="F28" s="46">
        <v>1000</v>
      </c>
    </row>
    <row r="29" spans="1:6" x14ac:dyDescent="0.25">
      <c r="A29" s="8" t="s">
        <v>82</v>
      </c>
      <c r="B29" s="8"/>
      <c r="C29" s="8"/>
      <c r="D29" s="8"/>
      <c r="E29" s="8"/>
      <c r="F29" s="47">
        <v>5.625</v>
      </c>
    </row>
    <row r="31" spans="1:1" x14ac:dyDescent="0.25">
      <c r="A31" s="7" t="s">
        <v>83</v>
      </c>
    </row>
    <row r="32" spans="1:6" x14ac:dyDescent="0.25">
      <c r="A32" s="8" t="s">
        <v>84</v>
      </c>
      <c r="B32" s="8"/>
      <c r="C32" s="8"/>
      <c r="D32" s="8"/>
      <c r="E32" s="8"/>
      <c r="F32" s="46">
        <v>156</v>
      </c>
    </row>
    <row r="33" spans="1:6" x14ac:dyDescent="0.25">
      <c r="A33" s="8" t="s">
        <v>85</v>
      </c>
      <c r="B33" s="8"/>
      <c r="C33" s="8"/>
      <c r="D33" s="8"/>
      <c r="E33" s="8"/>
      <c r="F33" s="46">
        <v>120</v>
      </c>
    </row>
    <row r="34" spans="1:6" x14ac:dyDescent="0.25">
      <c r="A34" s="8" t="s">
        <v>86</v>
      </c>
      <c r="B34" s="8"/>
      <c r="C34" s="8"/>
      <c r="D34" s="8"/>
      <c r="E34" s="8"/>
      <c r="F34" s="46">
        <v>78</v>
      </c>
    </row>
    <row r="35" spans="1:6" x14ac:dyDescent="0.25">
      <c r="A35" s="8" t="s">
        <v>87</v>
      </c>
      <c r="B35" s="8"/>
      <c r="C35" s="8"/>
      <c r="D35" s="8"/>
      <c r="E35" s="8"/>
      <c r="F35" s="46">
        <v>18</v>
      </c>
    </row>
    <row r="36" spans="1:6" x14ac:dyDescent="0.25">
      <c r="A36" s="8" t="s">
        <v>88</v>
      </c>
      <c r="B36" s="8"/>
      <c r="C36" s="8"/>
      <c r="D36" s="8"/>
      <c r="E36" s="8"/>
      <c r="F36" s="46">
        <v>36</v>
      </c>
    </row>
    <row r="37" spans="1:6" x14ac:dyDescent="0.25">
      <c r="A37" s="8" t="s">
        <v>89</v>
      </c>
      <c r="B37" s="8"/>
      <c r="C37" s="8"/>
      <c r="D37" s="8"/>
      <c r="E37" s="8"/>
      <c r="F37" s="46">
        <v>22</v>
      </c>
    </row>
    <row r="39" ht="22" customHeight="1" spans="1:6" x14ac:dyDescent="0.25">
      <c r="A39" s="13" t="s">
        <v>90</v>
      </c>
      <c r="B39" s="13" t="s">
        <v>34</v>
      </c>
      <c r="C39" s="13" t="s">
        <v>34</v>
      </c>
      <c r="D39" s="13" t="s">
        <v>34</v>
      </c>
      <c r="E39" s="12" t="s">
        <v>29</v>
      </c>
      <c r="F39" s="14" t="s">
        <v>91</v>
      </c>
    </row>
    <row r="40" spans="1:6" x14ac:dyDescent="0.25">
      <c r="A40" s="48" t="s">
        <v>92</v>
      </c>
      <c r="B40" s="48"/>
      <c r="C40" s="48"/>
      <c r="D40" s="48"/>
      <c r="E40" s="49" t="s">
        <v>93</v>
      </c>
      <c r="F40" s="44">
        <f>F18</f>
      </c>
    </row>
    <row r="41" spans="1:6" x14ac:dyDescent="0.25">
      <c r="A41" s="48" t="s">
        <v>94</v>
      </c>
      <c r="B41" s="48"/>
      <c r="C41" s="48"/>
      <c r="D41" s="48"/>
      <c r="E41" s="49" t="s">
        <v>95</v>
      </c>
      <c r="F41" s="44">
        <f>ROUND(F18*F23*F24/2000,1)</f>
      </c>
    </row>
    <row r="42" spans="1:6" x14ac:dyDescent="0.25">
      <c r="A42" s="48" t="s">
        <v>96</v>
      </c>
      <c r="B42" s="48"/>
      <c r="C42" s="48"/>
      <c r="D42" s="48"/>
      <c r="E42" s="49" t="s">
        <v>93</v>
      </c>
      <c r="F42" s="44">
        <f>ROUNDUP(F18*(1+F21),1)</f>
      </c>
    </row>
    <row r="43" spans="1:6" x14ac:dyDescent="0.25">
      <c r="A43" s="48" t="s">
        <v>97</v>
      </c>
      <c r="B43" s="48"/>
      <c r="C43" s="48"/>
      <c r="D43" s="48"/>
      <c r="E43" s="49" t="s">
        <v>98</v>
      </c>
      <c r="F43" s="50">
        <f>ROUNDUP(F18*(1+F21)*F22,0)</f>
      </c>
    </row>
    <row r="44" spans="1:6" x14ac:dyDescent="0.25">
      <c r="A44" s="48" t="s">
        <v>99</v>
      </c>
      <c r="B44" s="48"/>
      <c r="C44" s="48"/>
      <c r="D44" s="48"/>
      <c r="E44" s="49" t="s">
        <v>100</v>
      </c>
      <c r="F44" s="50">
        <f>ROUNDUP(F17/F28,0)</f>
      </c>
    </row>
    <row r="45" spans="1:6" x14ac:dyDescent="0.25">
      <c r="A45" s="48" t="s">
        <v>101</v>
      </c>
      <c r="B45" s="48"/>
      <c r="C45" s="48"/>
      <c r="D45" s="48"/>
      <c r="E45" s="49" t="s">
        <v>100</v>
      </c>
      <c r="F45" s="50">
        <f>ROUNDUP((F32*3*F27+F36*3)/F26,0)</f>
      </c>
    </row>
    <row r="46" spans="1:6" x14ac:dyDescent="0.25">
      <c r="A46" s="48" t="s">
        <v>102</v>
      </c>
      <c r="B46" s="48"/>
      <c r="C46" s="48"/>
      <c r="D46" s="48"/>
      <c r="E46" s="49" t="s">
        <v>103</v>
      </c>
      <c r="F46" s="50">
        <f>F32+F33</f>
      </c>
    </row>
    <row r="47" spans="1:6" x14ac:dyDescent="0.25">
      <c r="A47" s="48" t="s">
        <v>104</v>
      </c>
      <c r="B47" s="48"/>
      <c r="C47" s="48"/>
      <c r="D47" s="48"/>
      <c r="E47" s="49" t="s">
        <v>105</v>
      </c>
      <c r="F47" s="50">
        <f>ROUNDUP((F32+F33)/10,0)</f>
      </c>
    </row>
    <row r="48" spans="1:6" x14ac:dyDescent="0.25">
      <c r="A48" s="48" t="s">
        <v>106</v>
      </c>
      <c r="B48" s="48"/>
      <c r="C48" s="48"/>
      <c r="D48" s="48"/>
      <c r="E48" s="49" t="s">
        <v>103</v>
      </c>
      <c r="F48" s="50">
        <f>F34+F35</f>
      </c>
    </row>
    <row r="49" spans="1:6" x14ac:dyDescent="0.25">
      <c r="A49" s="48" t="s">
        <v>107</v>
      </c>
      <c r="B49" s="48"/>
      <c r="C49" s="48"/>
      <c r="D49" s="48"/>
      <c r="E49" s="49" t="s">
        <v>98</v>
      </c>
      <c r="F49" s="50">
        <f>ROUNDUP((F34+F35)/F25,0)</f>
      </c>
    </row>
    <row r="50" spans="1:6" x14ac:dyDescent="0.25">
      <c r="A50" s="48" t="s">
        <v>108</v>
      </c>
      <c r="B50" s="48"/>
      <c r="C50" s="48"/>
      <c r="D50" s="48"/>
      <c r="E50" s="49" t="s">
        <v>103</v>
      </c>
      <c r="F50" s="50">
        <f>F34</f>
      </c>
    </row>
    <row r="51" spans="1:6" x14ac:dyDescent="0.25">
      <c r="A51" s="48" t="s">
        <v>109</v>
      </c>
      <c r="B51" s="48"/>
      <c r="C51" s="48"/>
      <c r="D51" s="48"/>
      <c r="E51" s="49" t="s">
        <v>105</v>
      </c>
      <c r="F51" s="50">
        <f>ROUNDUP(F37*12/F29,0)</f>
      </c>
    </row>
    <row r="52" spans="1:6" x14ac:dyDescent="0.25">
      <c r="A52" s="48" t="s">
        <v>110</v>
      </c>
      <c r="B52" s="48"/>
      <c r="C52" s="48"/>
      <c r="D52" s="48"/>
      <c r="E52" s="49" t="s">
        <v>111</v>
      </c>
      <c r="F52" s="50">
        <f>ROUNDUP(F17/32*1.05,0)</f>
      </c>
    </row>
    <row r="54" ht="44" customHeight="1" spans="1:6" x14ac:dyDescent="0.25">
      <c r="A54" s="51" t="s">
        <v>112</v>
      </c>
      <c r="B54" s="51"/>
      <c r="C54" s="51"/>
      <c r="D54" s="51"/>
      <c r="E54" s="51"/>
      <c r="F54" s="51"/>
    </row>
    <row r="56" ht="26" customHeight="1" spans="1:6" x14ac:dyDescent="0.25">
      <c r="A56" s="36" t="s">
        <v>113</v>
      </c>
      <c r="B56" s="36"/>
      <c r="C56" s="36"/>
      <c r="D56" s="36"/>
      <c r="E56" s="36"/>
      <c r="F56" s="36"/>
    </row>
  </sheetData>
  <mergeCells count="30">
    <mergeCell ref="A21:E21"/>
    <mergeCell ref="A22:E22"/>
    <mergeCell ref="A23:E23"/>
    <mergeCell ref="A24:E24"/>
    <mergeCell ref="A25:E25"/>
    <mergeCell ref="A26:E26"/>
    <mergeCell ref="A27:E27"/>
    <mergeCell ref="A28:E28"/>
    <mergeCell ref="A29:E29"/>
    <mergeCell ref="A32:E32"/>
    <mergeCell ref="A33:E33"/>
    <mergeCell ref="A34:E34"/>
    <mergeCell ref="A35:E35"/>
    <mergeCell ref="A36:E36"/>
    <mergeCell ref="A37:E37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4:F54"/>
    <mergeCell ref="A56:F56"/>
  </mergeCells>
  <hyperlinks>
    <hyperlink ref="A56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buildworkpro.com/templates&amp;C&amp;8&amp;K8B93A1Roof Takeoff&amp;R&amp;8&amp;K8B93A1Page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0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" customWidth="1"/>
    <col min="3" max="3" width="12" customWidth="1"/>
    <col min="4" max="4" width="10" customWidth="1"/>
    <col min="5" max="6" width="12" customWidth="1"/>
    <col min="7" max="7" width="13" customWidth="1"/>
    <col min="8" max="8" width="14" customWidth="1"/>
  </cols>
  <sheetData>
    <row r="1" ht="30" customHeight="1" spans="1:1" x14ac:dyDescent="0.25">
      <c r="A1" s="1" t="s">
        <v>114</v>
      </c>
    </row>
    <row r="2" spans="1:1" x14ac:dyDescent="0.25">
      <c r="A2" s="3" t="s">
        <v>115</v>
      </c>
    </row>
    <row r="3" ht="6" customHeight="1" spans="1:8" x14ac:dyDescent="0.25">
      <c r="A3" s="4"/>
      <c r="B3" s="4"/>
      <c r="C3" s="4"/>
      <c r="D3" s="4"/>
      <c r="E3" s="4"/>
      <c r="F3" s="4"/>
      <c r="G3" s="4"/>
      <c r="H3" s="4"/>
    </row>
    <row r="4" spans="1:2" x14ac:dyDescent="0.25">
      <c r="A4" s="5"/>
      <c r="B4" s="6" t="s">
        <v>3</v>
      </c>
    </row>
    <row r="6" spans="1:4" x14ac:dyDescent="0.25">
      <c r="A6" s="8" t="s">
        <v>116</v>
      </c>
      <c r="B6" s="8"/>
      <c r="C6" s="8"/>
      <c r="D6" s="52">
        <v>48</v>
      </c>
    </row>
    <row r="7" spans="1:4" x14ac:dyDescent="0.25">
      <c r="A7" s="8" t="s">
        <v>117</v>
      </c>
      <c r="B7" s="8"/>
      <c r="C7" s="8"/>
      <c r="D7" s="32">
        <v>0.12</v>
      </c>
    </row>
    <row r="8" spans="1:4" x14ac:dyDescent="0.25">
      <c r="A8" s="8" t="s">
        <v>118</v>
      </c>
      <c r="B8" s="8"/>
      <c r="C8" s="8"/>
      <c r="D8" s="32">
        <v>0.15</v>
      </c>
    </row>
    <row r="10" ht="22" customHeight="1" spans="1:8" x14ac:dyDescent="0.25">
      <c r="A10" s="13" t="s">
        <v>119</v>
      </c>
      <c r="B10" s="12" t="s">
        <v>29</v>
      </c>
      <c r="C10" s="14" t="s">
        <v>120</v>
      </c>
      <c r="D10" s="14" t="s">
        <v>121</v>
      </c>
      <c r="E10" s="14" t="s">
        <v>122</v>
      </c>
      <c r="F10" s="14" t="s">
        <v>123</v>
      </c>
      <c r="G10" s="14" t="s">
        <v>124</v>
      </c>
      <c r="H10" s="14" t="s">
        <v>125</v>
      </c>
    </row>
    <row r="11" spans="1:8" x14ac:dyDescent="0.25">
      <c r="A11" s="17" t="s">
        <v>126</v>
      </c>
      <c r="B11" s="19" t="s">
        <v>93</v>
      </c>
      <c r="C11" s="20">
        <v>0</v>
      </c>
      <c r="D11" s="53">
        <v>1.1</v>
      </c>
      <c r="E11" s="20">
        <v>18</v>
      </c>
      <c r="F11" s="21">
        <f>IF(A11="","",N(C11)+N(D11)*$D$6+N(E11))</f>
      </c>
      <c r="G11" s="21">
        <f>IF(OR(F11="",$D$8&gt;=1),"",ROUND(F11*(1+$D$7)/(1-$D$8),2))</f>
      </c>
      <c r="H11" s="21">
        <f>IF(G11="","",G11-F11*(1+$D$7))</f>
      </c>
    </row>
    <row r="12" spans="1:8" x14ac:dyDescent="0.25">
      <c r="A12" s="17" t="s">
        <v>127</v>
      </c>
      <c r="B12" s="19" t="s">
        <v>93</v>
      </c>
      <c r="C12" s="20">
        <v>190</v>
      </c>
      <c r="D12" s="53">
        <v>2</v>
      </c>
      <c r="E12" s="20">
        <v>6</v>
      </c>
      <c r="F12" s="21">
        <f>IF(A12="","",N(C12)+N(D12)*$D$6+N(E12))</f>
      </c>
      <c r="G12" s="21">
        <f>IF(OR(F12="",$D$8&gt;=1),"",ROUND(F12*(1+$D$7)/(1-$D$8),2))</f>
      </c>
      <c r="H12" s="21">
        <f>IF(G12="","",G12-F12*(1+$D$7))</f>
      </c>
    </row>
    <row r="13" spans="1:8" x14ac:dyDescent="0.25">
      <c r="A13" s="17" t="s">
        <v>99</v>
      </c>
      <c r="B13" s="19" t="s">
        <v>93</v>
      </c>
      <c r="C13" s="20">
        <v>14</v>
      </c>
      <c r="D13" s="53">
        <v>0.3</v>
      </c>
      <c r="E13" s="20">
        <v>1</v>
      </c>
      <c r="F13" s="21">
        <f>IF(A13="","",N(C13)+N(D13)*$D$6+N(E13))</f>
      </c>
      <c r="G13" s="21">
        <f>IF(OR(F13="",$D$8&gt;=1),"",ROUND(F13*(1+$D$7)/(1-$D$8),2))</f>
      </c>
      <c r="H13" s="21">
        <f>IF(G13="","",G13-F13*(1+$D$7))</f>
      </c>
    </row>
    <row r="14" spans="1:8" x14ac:dyDescent="0.25">
      <c r="A14" s="17" t="s">
        <v>128</v>
      </c>
      <c r="B14" s="19" t="s">
        <v>100</v>
      </c>
      <c r="C14" s="20">
        <v>95</v>
      </c>
      <c r="D14" s="53">
        <v>0.8</v>
      </c>
      <c r="E14" s="20">
        <v>0</v>
      </c>
      <c r="F14" s="21">
        <f>IF(A14="","",N(C14)+N(D14)*$D$6+N(E14))</f>
      </c>
      <c r="G14" s="21">
        <f>IF(OR(F14="",$D$8&gt;=1),"",ROUND(F14*(1+$D$7)/(1-$D$8),2))</f>
      </c>
      <c r="H14" s="21">
        <f>IF(G14="","",G14-F14*(1+$D$7))</f>
      </c>
    </row>
    <row r="15" spans="1:8" x14ac:dyDescent="0.25">
      <c r="A15" s="17" t="s">
        <v>129</v>
      </c>
      <c r="B15" s="19" t="s">
        <v>103</v>
      </c>
      <c r="C15" s="20">
        <v>1.35</v>
      </c>
      <c r="D15" s="53">
        <v>0.03</v>
      </c>
      <c r="E15" s="20">
        <v>0</v>
      </c>
      <c r="F15" s="21">
        <f>IF(A15="","",N(C15)+N(D15)*$D$6+N(E15))</f>
      </c>
      <c r="G15" s="21">
        <f>IF(OR(F15="",$D$8&gt;=1),"",ROUND(F15*(1+$D$7)/(1-$D$8),2))</f>
      </c>
      <c r="H15" s="21">
        <f>IF(G15="","",G15-F15*(1+$D$7))</f>
      </c>
    </row>
    <row r="16" spans="1:8" x14ac:dyDescent="0.25">
      <c r="A16" s="17" t="s">
        <v>106</v>
      </c>
      <c r="B16" s="19" t="s">
        <v>103</v>
      </c>
      <c r="C16" s="20">
        <v>3.2</v>
      </c>
      <c r="D16" s="53">
        <v>0.06</v>
      </c>
      <c r="E16" s="20">
        <v>0</v>
      </c>
      <c r="F16" s="21">
        <f>IF(A16="","",N(C16)+N(D16)*$D$6+N(E16))</f>
      </c>
      <c r="G16" s="21">
        <f>IF(OR(F16="",$D$8&gt;=1),"",ROUND(F16*(1+$D$7)/(1-$D$8),2))</f>
      </c>
      <c r="H16" s="21">
        <f>IF(G16="","",G16-F16*(1+$D$7))</f>
      </c>
    </row>
    <row r="17" spans="1:8" x14ac:dyDescent="0.25">
      <c r="A17" s="17" t="s">
        <v>130</v>
      </c>
      <c r="B17" s="19" t="s">
        <v>131</v>
      </c>
      <c r="C17" s="20">
        <v>18</v>
      </c>
      <c r="D17" s="53">
        <v>0.5</v>
      </c>
      <c r="E17" s="20">
        <v>0</v>
      </c>
      <c r="F17" s="21">
        <f>IF(A17="","",N(C17)+N(D17)*$D$6+N(E17))</f>
      </c>
      <c r="G17" s="21">
        <f>IF(OR(F17="",$D$8&gt;=1),"",ROUND(F17*(1+$D$7)/(1-$D$8),2))</f>
      </c>
      <c r="H17" s="21">
        <f>IF(G17="","",G17-F17*(1+$D$7))</f>
      </c>
    </row>
    <row r="18" spans="1:8" x14ac:dyDescent="0.25">
      <c r="A18" s="17" t="s">
        <v>132</v>
      </c>
      <c r="B18" s="19" t="s">
        <v>111</v>
      </c>
      <c r="C18" s="20">
        <v>24</v>
      </c>
      <c r="D18" s="53">
        <v>0.5</v>
      </c>
      <c r="E18" s="20">
        <v>2</v>
      </c>
      <c r="F18" s="21">
        <f>IF(A18="","",N(C18)+N(D18)*$D$6+N(E18))</f>
      </c>
      <c r="G18" s="21">
        <f>IF(OR(F18="",$D$8&gt;=1),"",ROUND(F18*(1+$D$7)/(1-$D$8),2))</f>
      </c>
      <c r="H18" s="21">
        <f>IF(G18="","",G18-F18*(1+$D$7))</f>
      </c>
    </row>
    <row r="19" spans="1:8" x14ac:dyDescent="0.25">
      <c r="A19" s="17"/>
      <c r="B19" s="19"/>
      <c r="C19" s="20"/>
      <c r="D19" s="53"/>
      <c r="E19" s="20"/>
      <c r="F19" s="21">
        <f>IF(A19="","",N(C19)+N(D19)*$D$6+N(E19))</f>
      </c>
      <c r="G19" s="21">
        <f>IF(OR(F19="",$D$8&gt;=1),"",ROUND(F19*(1+$D$7)/(1-$D$8),2))</f>
      </c>
      <c r="H19" s="21">
        <f>IF(G19="","",G19-F19*(1+$D$7))</f>
      </c>
    </row>
    <row r="20" spans="1:8" x14ac:dyDescent="0.25">
      <c r="A20" s="17"/>
      <c r="B20" s="19"/>
      <c r="C20" s="20"/>
      <c r="D20" s="53"/>
      <c r="E20" s="20"/>
      <c r="F20" s="21">
        <f>IF(A20="","",N(C20)+N(D20)*$D$6+N(E20))</f>
      </c>
      <c r="G20" s="21">
        <f>IF(OR(F20="",$D$8&gt;=1),"",ROUND(F20*(1+$D$7)/(1-$D$8),2))</f>
      </c>
      <c r="H20" s="21">
        <f>IF(G20="","",G20-F20*(1+$D$7))</f>
      </c>
    </row>
    <row r="21" spans="1:8" x14ac:dyDescent="0.25">
      <c r="A21" s="17"/>
      <c r="B21" s="19"/>
      <c r="C21" s="20"/>
      <c r="D21" s="53"/>
      <c r="E21" s="20"/>
      <c r="F21" s="21">
        <f>IF(A21="","",N(C21)+N(D21)*$D$6+N(E21))</f>
      </c>
      <c r="G21" s="21">
        <f>IF(OR(F21="",$D$8&gt;=1),"",ROUND(F21*(1+$D$7)/(1-$D$8),2))</f>
      </c>
      <c r="H21" s="21">
        <f>IF(G21="","",G21-F21*(1+$D$7))</f>
      </c>
    </row>
    <row r="22" spans="1:8" x14ac:dyDescent="0.25">
      <c r="A22" s="17"/>
      <c r="B22" s="19"/>
      <c r="C22" s="20"/>
      <c r="D22" s="53"/>
      <c r="E22" s="20"/>
      <c r="F22" s="21">
        <f>IF(A22="","",N(C22)+N(D22)*$D$6+N(E22))</f>
      </c>
      <c r="G22" s="21">
        <f>IF(OR(F22="",$D$8&gt;=1),"",ROUND(F22*(1+$D$7)/(1-$D$8),2))</f>
      </c>
      <c r="H22" s="21">
        <f>IF(G22="","",G22-F22*(1+$D$7))</f>
      </c>
    </row>
    <row r="23" spans="1:8" x14ac:dyDescent="0.25">
      <c r="A23" s="17"/>
      <c r="B23" s="19"/>
      <c r="C23" s="20"/>
      <c r="D23" s="53"/>
      <c r="E23" s="20"/>
      <c r="F23" s="21">
        <f>IF(A23="","",N(C23)+N(D23)*$D$6+N(E23))</f>
      </c>
      <c r="G23" s="21">
        <f>IF(OR(F23="",$D$8&gt;=1),"",ROUND(F23*(1+$D$7)/(1-$D$8),2))</f>
      </c>
      <c r="H23" s="21">
        <f>IF(G23="","",G23-F23*(1+$D$7))</f>
      </c>
    </row>
    <row r="24" spans="1:8" x14ac:dyDescent="0.25">
      <c r="A24" s="17"/>
      <c r="B24" s="19"/>
      <c r="C24" s="20"/>
      <c r="D24" s="53"/>
      <c r="E24" s="20"/>
      <c r="F24" s="21">
        <f>IF(A24="","",N(C24)+N(D24)*$D$6+N(E24))</f>
      </c>
      <c r="G24" s="21">
        <f>IF(OR(F24="",$D$8&gt;=1),"",ROUND(F24*(1+$D$7)/(1-$D$8),2))</f>
      </c>
      <c r="H24" s="21">
        <f>IF(G24="","",G24-F24*(1+$D$7))</f>
      </c>
    </row>
    <row r="26" ht="44" customHeight="1" spans="1:8" x14ac:dyDescent="0.25">
      <c r="A26" s="51" t="s">
        <v>133</v>
      </c>
      <c r="B26" s="51"/>
      <c r="C26" s="51"/>
      <c r="D26" s="51"/>
      <c r="E26" s="51"/>
      <c r="F26" s="51"/>
      <c r="G26" s="51"/>
      <c r="H26" s="51"/>
    </row>
    <row r="28" ht="32" customHeight="1" spans="1:8" x14ac:dyDescent="0.25">
      <c r="A28" s="51" t="s">
        <v>134</v>
      </c>
      <c r="B28" s="51"/>
      <c r="C28" s="51"/>
      <c r="D28" s="51"/>
      <c r="E28" s="51"/>
      <c r="F28" s="51"/>
      <c r="G28" s="51"/>
      <c r="H28" s="51"/>
    </row>
    <row r="30" ht="26" customHeight="1" spans="1:8" x14ac:dyDescent="0.25">
      <c r="A30" s="36" t="s">
        <v>135</v>
      </c>
      <c r="B30" s="36"/>
      <c r="C30" s="36"/>
      <c r="D30" s="36"/>
      <c r="E30" s="36"/>
      <c r="F30" s="36"/>
      <c r="G30" s="36"/>
      <c r="H30" s="36"/>
    </row>
  </sheetData>
  <mergeCells count="6">
    <mergeCell ref="A6:C6"/>
    <mergeCell ref="A7:C7"/>
    <mergeCell ref="A8:C8"/>
    <mergeCell ref="A26:H26"/>
    <mergeCell ref="A28:H28"/>
    <mergeCell ref="A30:H30"/>
  </mergeCells>
  <hyperlinks>
    <hyperlink ref="A30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1"/>
  <headerFooter>
    <oddFooter>&amp;L&amp;8&amp;K8B93A1Free template by BuildWorkPro · buildworkpro.com/templates&amp;C&amp;8&amp;K8B93A1Unit Prices&amp;R&amp;8&amp;K8B93A1Page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136</v>
      </c>
    </row>
    <row r="2" ht="6" customHeight="1" spans="1:2" x14ac:dyDescent="0.25">
      <c r="A2" s="4"/>
      <c r="B2" s="4"/>
    </row>
    <row r="4" ht="45" customHeight="1" spans="1:2" x14ac:dyDescent="0.25">
      <c r="A4" s="54" t="s">
        <v>137</v>
      </c>
      <c r="B4" s="55" t="s">
        <v>138</v>
      </c>
    </row>
    <row r="5" ht="30" customHeight="1" spans="1:2" x14ac:dyDescent="0.25">
      <c r="A5" s="54" t="s">
        <v>139</v>
      </c>
      <c r="B5" s="55" t="s">
        <v>140</v>
      </c>
    </row>
    <row r="6" ht="30" customHeight="1" spans="1:2" x14ac:dyDescent="0.25">
      <c r="A6" s="54" t="s">
        <v>141</v>
      </c>
      <c r="B6" s="55" t="s">
        <v>142</v>
      </c>
    </row>
    <row r="7" ht="30" customHeight="1" spans="1:2" x14ac:dyDescent="0.25">
      <c r="A7" s="54" t="s">
        <v>143</v>
      </c>
      <c r="B7" s="55" t="s">
        <v>144</v>
      </c>
    </row>
    <row r="8" ht="30" customHeight="1" spans="1:2" x14ac:dyDescent="0.25">
      <c r="A8" s="54" t="s">
        <v>145</v>
      </c>
      <c r="B8" s="55" t="s">
        <v>146</v>
      </c>
    </row>
    <row r="9" ht="30" customHeight="1" spans="1:2" x14ac:dyDescent="0.25">
      <c r="A9" s="54" t="s">
        <v>147</v>
      </c>
      <c r="B9" s="55" t="s">
        <v>148</v>
      </c>
    </row>
    <row r="11" spans="2:2" x14ac:dyDescent="0.25">
      <c r="B11" s="7" t="s">
        <v>149</v>
      </c>
    </row>
    <row r="12" ht="30" customHeight="1" spans="1:2" x14ac:dyDescent="0.25">
      <c r="A12" s="56" t="s">
        <v>150</v>
      </c>
      <c r="B12" s="57" t="s">
        <v>151</v>
      </c>
    </row>
    <row r="13" ht="30" customHeight="1" spans="1:2" x14ac:dyDescent="0.25">
      <c r="A13" s="56" t="s">
        <v>150</v>
      </c>
      <c r="B13" s="57" t="s">
        <v>152</v>
      </c>
    </row>
    <row r="14" ht="30" customHeight="1" spans="1:2" x14ac:dyDescent="0.25">
      <c r="A14" s="56" t="s">
        <v>150</v>
      </c>
      <c r="B14" s="57" t="s">
        <v>153</v>
      </c>
    </row>
    <row r="15" ht="30" customHeight="1" spans="1:2" x14ac:dyDescent="0.25">
      <c r="A15" s="56" t="s">
        <v>150</v>
      </c>
      <c r="B15" s="57" t="s">
        <v>154</v>
      </c>
    </row>
    <row r="17" ht="44" customHeight="1" spans="1:2" x14ac:dyDescent="0.25">
      <c r="A17" s="51" t="s">
        <v>155</v>
      </c>
      <c r="B17" s="51"/>
    </row>
    <row r="18" spans="2:2" x14ac:dyDescent="0.25">
      <c r="B18" s="58" t="s">
        <v>156</v>
      </c>
    </row>
    <row r="20" ht="78" customHeight="1" spans="1:2" x14ac:dyDescent="0.25">
      <c r="A20" s="36" t="s">
        <v>157</v>
      </c>
      <c r="B20" s="36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Estimate</vt:lpstr>
      <vt:lpstr>Roof Takeoff</vt:lpstr>
      <vt:lpstr>Unit Prices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Roofing Estimate Template</dc:title>
  <dc:subject>Roofing Estimate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